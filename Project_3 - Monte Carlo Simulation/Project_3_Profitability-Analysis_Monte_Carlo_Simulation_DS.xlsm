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u126\Desktop\Coursera\Excel_VBA\Curso_3\Project_3\"/>
    </mc:Choice>
  </mc:AlternateContent>
  <bookViews>
    <workbookView xWindow="0" yWindow="0" windowWidth="28800" windowHeight="11535"/>
  </bookViews>
  <sheets>
    <sheet name="Main" sheetId="1" r:id="rId1"/>
    <sheet name="Histogram" sheetId="72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<sst xmlns="http://schemas.openxmlformats.org/spreadsheetml/2006/main" count="30" uniqueCount="25">
  <si>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</si>
  <si>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</si>
  <si>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</si>
  <si>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</si>
  <si>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</si>
  <si>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</si>
  <si>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</si>
  <si>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</si>
  <si>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</si>
  <si>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</si>
  <si>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</si>
  <si>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</si>
  <si>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</si>
  <si>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</si>
  <si>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</si>
  <si>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</si>
  <si>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</si>
  <si>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</si>
  <si>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</si>
  <si>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</si>
  <si>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</si>
  <si>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</si>
  <si>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</si>
  <si>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0,40</t>
  </si>
  <si>
    <t>-5,0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</si>
</sst>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  <xf numFmtId="2" fontId="0" fillId="2" borderId="2" xfId="0" applyNumberFormat="1" applyFill="1" applyBorder="1" applyAlignment="1">
      <alignment horizontal="right"/>
    </xf>
    <xf numFmtId="0" fontId="0" fillId="2" borderId="4" xfId="0" applyFill="1" applyBorder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-57</c:v>
                </c:pt>
                <c:pt idx="1">
                  <c:v>-51</c:v>
                </c:pt>
                <c:pt idx="2">
                  <c:v>-45</c:v>
                </c:pt>
                <c:pt idx="3">
                  <c:v>-39</c:v>
                </c:pt>
                <c:pt idx="4">
                  <c:v>-33</c:v>
                </c:pt>
                <c:pt idx="5">
                  <c:v>-27</c:v>
                </c:pt>
                <c:pt idx="6">
                  <c:v>-21</c:v>
                </c:pt>
                <c:pt idx="7">
                  <c:v>-15</c:v>
                </c:pt>
                <c:pt idx="8">
                  <c:v>-9</c:v>
                </c:pt>
                <c:pt idx="9">
                  <c:v>-3</c:v>
                </c:pt>
                <c:pt idx="10">
                  <c:v>3</c:v>
                </c:pt>
                <c:pt idx="11">
                  <c:v>9</c:v>
                </c:pt>
                <c:pt idx="12">
                  <c:v>15</c:v>
                </c:pt>
                <c:pt idx="13">
                  <c:v>21</c:v>
                </c:pt>
                <c:pt idx="14">
                  <c:v>27</c:v>
                </c:pt>
                <c:pt idx="15">
                  <c:v>33</c:v>
                </c:pt>
                <c:pt idx="16">
                  <c:v>39</c:v>
                </c:pt>
                <c:pt idx="17">
                  <c:v>45</c:v>
                </c:pt>
                <c:pt idx="18">
                  <c:v>51</c:v>
                </c:pt>
                <c:pt idx="19">
                  <c:v>57</c:v>
                </c:pt>
                <c:pt idx="20">
                  <c:v>63</c:v>
                </c:pt>
                <c:pt idx="21">
                  <c:v>69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3</c:v>
                </c:pt>
                <c:pt idx="1">
                  <c:v>21</c:v>
                </c:pt>
                <c:pt idx="2">
                  <c:v>22</c:v>
                </c:pt>
                <c:pt idx="3">
                  <c:v>43</c:v>
                </c:pt>
                <c:pt idx="4">
                  <c:v>65</c:v>
                </c:pt>
                <c:pt idx="5">
                  <c:v>92</c:v>
                </c:pt>
                <c:pt idx="6">
                  <c:v>91</c:v>
                </c:pt>
                <c:pt idx="7">
                  <c:v>113</c:v>
                </c:pt>
                <c:pt idx="8">
                  <c:v>109</c:v>
                </c:pt>
                <c:pt idx="9">
                  <c:v>83</c:v>
                </c:pt>
                <c:pt idx="10">
                  <c:v>96</c:v>
                </c:pt>
                <c:pt idx="11">
                  <c:v>73</c:v>
                </c:pt>
                <c:pt idx="12">
                  <c:v>60</c:v>
                </c:pt>
                <c:pt idx="13">
                  <c:v>41</c:v>
                </c:pt>
                <c:pt idx="14">
                  <c:v>29</c:v>
                </c:pt>
                <c:pt idx="15">
                  <c:v>19</c:v>
                </c:pt>
                <c:pt idx="16">
                  <c:v>13</c:v>
                </c:pt>
                <c:pt idx="17">
                  <c:v>9</c:v>
                </c:pt>
                <c:pt idx="18">
                  <c:v>3</c:v>
                </c:pt>
                <c:pt idx="19">
                  <c:v>6</c:v>
                </c:pt>
                <c:pt idx="20">
                  <c:v>3</c:v>
                </c:pt>
                <c:pt idx="2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4497832"/>
        <c:axId val="824479256"/>
      </c:barChart>
      <c:catAx>
        <c:axId val="704497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824479256"/>
        <c:crosses val="autoZero"/>
        <c:auto val="1"/>
        <c:lblAlgn val="ctr"/>
        <c:lblOffset val="100"/>
        <c:noMultiLvlLbl val="0"/>
      </c:catAx>
      <c:valAx>
        <c:axId val="82447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0449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5"/>
  <sheetViews>
    <sheetView zoomScale="114" workbookViewId="0" zoomToFit="1"/>
  </sheetViews>
  <pageMargins left="0.7" right="0.7" top="0.75" bottom="0.75" header="0.3" footer="0.3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42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tabSelected="1" zoomScaleNormal="100" workbookViewId="0">
      <selection activeCell="C19" sqref="C19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15" t="s">
        <v>24</v>
      </c>
      <c r="D3" t="s">
        <v>2</v>
      </c>
      <c r="E3" s="14">
        <v>41.231324735493054</v>
      </c>
      <c r="G3" t="s">
        <v>3</v>
      </c>
      <c r="H3" s="5">
        <v>-7.3365308548162496</v>
      </c>
    </row>
    <row r="4" spans="1:16" ht="15.75" thickBot="1" x14ac:dyDescent="0.3">
      <c r="A4" t="s">
        <v>4</v>
      </c>
      <c r="B4" s="6">
        <v>-14.220055537312254</v>
      </c>
      <c r="D4" t="s">
        <v>5</v>
      </c>
      <c r="E4" s="16" t="s">
        <v>23</v>
      </c>
      <c r="G4" t="s">
        <v>6</v>
      </c>
      <c r="H4" s="7">
        <v>0.1477146863937378</v>
      </c>
    </row>
    <row r="5" spans="1:16" x14ac:dyDescent="0.25">
      <c r="A5" t="s">
        <v>7</v>
      </c>
      <c r="B5" s="8">
        <v>-83.728600646448669</v>
      </c>
      <c r="H5" s="9"/>
    </row>
    <row r="6" spans="1:16" x14ac:dyDescent="0.25">
      <c r="A6" t="s">
        <v>8</v>
      </c>
      <c r="B6" s="8">
        <v>-20.009026348590851</v>
      </c>
      <c r="E6" t="s">
        <v>9</v>
      </c>
      <c r="H6" s="9"/>
    </row>
    <row r="7" spans="1:16" ht="15.75" thickBot="1" x14ac:dyDescent="0.3">
      <c r="A7" t="s">
        <v>10</v>
      </c>
      <c r="B7" s="13">
        <v>-15.996862475177842</v>
      </c>
      <c r="E7" t="s">
        <v>11</v>
      </c>
      <c r="H7" s="9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0">
        <f>0.5*CTDC</f>
        <v>-41.864300323224334</v>
      </c>
      <c r="C10" s="10"/>
      <c r="D10" s="10" t="str">
        <f>Cland</f>
        <v>-5,0</v>
      </c>
      <c r="E10" s="10"/>
      <c r="F10" s="10"/>
      <c r="G10" s="10"/>
      <c r="H10" s="10"/>
      <c r="I10" s="10"/>
      <c r="J10" s="10"/>
      <c r="L10">
        <f>B10+D10</f>
        <v>-46.864300323224334</v>
      </c>
      <c r="M10" s="10">
        <f t="shared" ref="M10:M24" si="0">L10/(1+i)^(A10-1)</f>
        <v>-46.864300323224334</v>
      </c>
      <c r="N10" s="10">
        <f>M10</f>
        <v>-46.864300323224334</v>
      </c>
    </row>
    <row r="11" spans="1:16" x14ac:dyDescent="0.25">
      <c r="A11">
        <v>2</v>
      </c>
      <c r="B11" s="10">
        <f>0.5*CTDC</f>
        <v>-41.864300323224334</v>
      </c>
      <c r="C11" s="10">
        <f>WC</f>
        <v>-20.009026348590851</v>
      </c>
      <c r="D11" s="10"/>
      <c r="E11" s="10"/>
      <c r="F11" s="10">
        <f>Cstart</f>
        <v>-15.996862475177842</v>
      </c>
      <c r="G11" s="10"/>
      <c r="H11" s="10"/>
      <c r="I11" s="10"/>
      <c r="J11" s="10"/>
      <c r="L11">
        <f>B11+C11+F11</f>
        <v>-77.870189146993027</v>
      </c>
      <c r="M11" s="10">
        <f t="shared" si="0"/>
        <v>-67.848037556852077</v>
      </c>
      <c r="N11" s="10">
        <f>N10+M11</f>
        <v>-114.7123378800764</v>
      </c>
    </row>
    <row r="12" spans="1:16" x14ac:dyDescent="0.25">
      <c r="A12">
        <v>3</v>
      </c>
      <c r="B12" s="10"/>
      <c r="C12" s="10"/>
      <c r="D12" s="10"/>
      <c r="E12" s="10">
        <f t="shared" ref="E12:E24" si="1">Croyal</f>
        <v>-14.220055537312254</v>
      </c>
      <c r="F12" s="10"/>
      <c r="G12" s="10"/>
      <c r="H12" s="10">
        <f>P12*-CTDC</f>
        <v>11.964817032377514</v>
      </c>
      <c r="I12" s="10">
        <f>0.5*S</f>
        <v>20.615662367746527</v>
      </c>
      <c r="J12" s="10">
        <f>0.5*COS</f>
        <v>-3.6682654274081248</v>
      </c>
      <c r="K12" s="10">
        <f>(1-tax)*(I12-J12-H12)</f>
        <v>7.391466457666283</v>
      </c>
      <c r="L12" s="10">
        <f t="shared" ref="L12:L23" si="2">K12+H12+E12</f>
        <v>5.1362279527315433</v>
      </c>
      <c r="M12" s="10">
        <f t="shared" si="0"/>
        <v>3.899208082460877</v>
      </c>
      <c r="N12" s="10">
        <f t="shared" ref="N12:N23" si="3">N11+M12</f>
        <v>-110.81312979761553</v>
      </c>
      <c r="P12" s="11">
        <v>0.1429</v>
      </c>
    </row>
    <row r="13" spans="1:16" x14ac:dyDescent="0.25">
      <c r="A13">
        <v>4</v>
      </c>
      <c r="B13" s="10"/>
      <c r="C13" s="10"/>
      <c r="D13" s="10"/>
      <c r="E13" s="10">
        <f t="shared" si="1"/>
        <v>-14.220055537312254</v>
      </c>
      <c r="F13" s="10"/>
      <c r="G13" s="10"/>
      <c r="H13" s="10">
        <f t="shared" ref="H13:H19" si="4">P13*-CTDC</f>
        <v>20.50513429831528</v>
      </c>
      <c r="I13" s="10">
        <f>0.8*S</f>
        <v>32.985059788394445</v>
      </c>
      <c r="J13" s="10">
        <f>0.8*COS</f>
        <v>-5.869224683853</v>
      </c>
      <c r="K13" s="10">
        <f t="shared" ref="K13:K24" si="5">(1-tax)*(I13-J13-H13)</f>
        <v>11.009490104359298</v>
      </c>
      <c r="L13" s="10">
        <f t="shared" si="2"/>
        <v>17.294568865362322</v>
      </c>
      <c r="M13" s="10">
        <f t="shared" si="0"/>
        <v>11.439523189217487</v>
      </c>
      <c r="N13" s="10">
        <f t="shared" si="3"/>
        <v>-99.373606608398049</v>
      </c>
      <c r="P13" s="11">
        <v>0.24490000000000001</v>
      </c>
    </row>
    <row r="14" spans="1:16" x14ac:dyDescent="0.25">
      <c r="A14">
        <v>5</v>
      </c>
      <c r="B14" s="10"/>
      <c r="C14" s="10"/>
      <c r="D14" s="10"/>
      <c r="E14" s="10">
        <f t="shared" si="1"/>
        <v>-14.220055537312254</v>
      </c>
      <c r="F14" s="10"/>
      <c r="G14" s="10"/>
      <c r="H14" s="10">
        <f t="shared" si="4"/>
        <v>14.644132253063873</v>
      </c>
      <c r="I14" s="10">
        <f t="shared" ref="I14:I24" si="6">S</f>
        <v>41.231324735493054</v>
      </c>
      <c r="J14" s="10">
        <f t="shared" ref="J14:J24" si="7">COS</f>
        <v>-7.3365308548162496</v>
      </c>
      <c r="K14" s="10">
        <f t="shared" si="5"/>
        <v>20.354234002347258</v>
      </c>
      <c r="L14" s="10">
        <f t="shared" si="2"/>
        <v>20.778310718098872</v>
      </c>
      <c r="M14" s="10">
        <f t="shared" si="0"/>
        <v>11.974971277476651</v>
      </c>
      <c r="N14" s="10">
        <f t="shared" si="3"/>
        <v>-87.398635330921394</v>
      </c>
      <c r="P14" s="11">
        <v>0.1749</v>
      </c>
    </row>
    <row r="15" spans="1:16" x14ac:dyDescent="0.25">
      <c r="A15">
        <v>6</v>
      </c>
      <c r="B15" s="10"/>
      <c r="C15" s="10"/>
      <c r="D15" s="10"/>
      <c r="E15" s="10">
        <f t="shared" si="1"/>
        <v>-14.220055537312254</v>
      </c>
      <c r="F15" s="10"/>
      <c r="G15" s="10"/>
      <c r="H15" s="10">
        <f t="shared" si="4"/>
        <v>10.457702220741439</v>
      </c>
      <c r="I15" s="10">
        <f t="shared" si="6"/>
        <v>41.231324735493054</v>
      </c>
      <c r="J15" s="10">
        <f t="shared" si="7"/>
        <v>-7.3365308548162496</v>
      </c>
      <c r="K15" s="10">
        <f t="shared" si="5"/>
        <v>22.86609202174072</v>
      </c>
      <c r="L15" s="10">
        <f t="shared" si="2"/>
        <v>19.103738705169903</v>
      </c>
      <c r="M15" s="10">
        <f t="shared" si="0"/>
        <v>9.5928725465705238</v>
      </c>
      <c r="N15" s="10">
        <f t="shared" si="3"/>
        <v>-77.805762784350875</v>
      </c>
      <c r="P15" s="11">
        <v>0.1249</v>
      </c>
    </row>
    <row r="16" spans="1:16" x14ac:dyDescent="0.25">
      <c r="A16">
        <v>7</v>
      </c>
      <c r="B16" s="10"/>
      <c r="C16" s="10"/>
      <c r="D16" s="10"/>
      <c r="E16" s="10">
        <f t="shared" si="1"/>
        <v>-14.220055537312254</v>
      </c>
      <c r="F16" s="10"/>
      <c r="G16" s="10"/>
      <c r="H16" s="10">
        <f t="shared" si="4"/>
        <v>7.4769640377278668</v>
      </c>
      <c r="I16" s="10">
        <f t="shared" si="6"/>
        <v>41.231324735493054</v>
      </c>
      <c r="J16" s="10">
        <f t="shared" si="7"/>
        <v>-7.3365308548162496</v>
      </c>
      <c r="K16" s="10">
        <f t="shared" si="5"/>
        <v>24.654534931548863</v>
      </c>
      <c r="L16" s="10">
        <f t="shared" si="2"/>
        <v>17.911443431964472</v>
      </c>
      <c r="M16" s="10">
        <f t="shared" si="0"/>
        <v>7.8365868633107345</v>
      </c>
      <c r="N16" s="10">
        <f t="shared" si="3"/>
        <v>-69.969175921040147</v>
      </c>
      <c r="P16" s="11">
        <v>8.9300000000000004E-2</v>
      </c>
    </row>
    <row r="17" spans="1:16" x14ac:dyDescent="0.25">
      <c r="A17">
        <v>8</v>
      </c>
      <c r="B17" s="10"/>
      <c r="C17" s="10"/>
      <c r="D17" s="10"/>
      <c r="E17" s="10">
        <f t="shared" si="1"/>
        <v>-14.220055537312254</v>
      </c>
      <c r="F17" s="10"/>
      <c r="G17" s="10"/>
      <c r="H17" s="10">
        <f t="shared" si="4"/>
        <v>7.468591177663221</v>
      </c>
      <c r="I17" s="10">
        <f t="shared" si="6"/>
        <v>41.231324735493054</v>
      </c>
      <c r="J17" s="10">
        <f t="shared" si="7"/>
        <v>-7.3365308548162496</v>
      </c>
      <c r="K17" s="10">
        <f t="shared" si="5"/>
        <v>24.659558647587652</v>
      </c>
      <c r="L17" s="10">
        <f t="shared" si="2"/>
        <v>17.908094287938617</v>
      </c>
      <c r="M17" s="10">
        <f t="shared" si="0"/>
        <v>6.8267154231912333</v>
      </c>
      <c r="N17" s="10">
        <f t="shared" si="3"/>
        <v>-63.142460497848916</v>
      </c>
      <c r="P17" s="11">
        <v>8.9200000000000002E-2</v>
      </c>
    </row>
    <row r="18" spans="1:16" x14ac:dyDescent="0.25">
      <c r="A18">
        <v>9</v>
      </c>
      <c r="B18" s="10"/>
      <c r="C18" s="10"/>
      <c r="D18" s="10"/>
      <c r="E18" s="10">
        <f t="shared" si="1"/>
        <v>-14.220055537312254</v>
      </c>
      <c r="F18" s="10"/>
      <c r="G18" s="10"/>
      <c r="H18" s="10">
        <f t="shared" si="4"/>
        <v>7.4769640377278668</v>
      </c>
      <c r="I18" s="10">
        <f t="shared" si="6"/>
        <v>41.231324735493054</v>
      </c>
      <c r="J18" s="10">
        <f t="shared" si="7"/>
        <v>-7.3365308548162496</v>
      </c>
      <c r="K18" s="10">
        <f t="shared" si="5"/>
        <v>24.654534931548863</v>
      </c>
      <c r="L18" s="10">
        <f t="shared" si="2"/>
        <v>17.911443431964472</v>
      </c>
      <c r="M18" s="10">
        <f t="shared" si="0"/>
        <v>5.9492069116748274</v>
      </c>
      <c r="N18" s="10">
        <f t="shared" si="3"/>
        <v>-57.193253586174087</v>
      </c>
      <c r="P18" s="11">
        <v>8.9300000000000004E-2</v>
      </c>
    </row>
    <row r="19" spans="1:16" x14ac:dyDescent="0.25">
      <c r="A19">
        <v>10</v>
      </c>
      <c r="B19" s="10"/>
      <c r="C19" s="10"/>
      <c r="D19" s="10"/>
      <c r="E19" s="10">
        <f t="shared" si="1"/>
        <v>-14.220055537312254</v>
      </c>
      <c r="F19" s="10"/>
      <c r="G19" s="10"/>
      <c r="H19" s="10">
        <f t="shared" si="4"/>
        <v>3.7342955888316105</v>
      </c>
      <c r="I19" s="10">
        <f t="shared" si="6"/>
        <v>41.231324735493054</v>
      </c>
      <c r="J19" s="10">
        <f t="shared" si="7"/>
        <v>-7.3365308548162496</v>
      </c>
      <c r="K19" s="10">
        <f t="shared" si="5"/>
        <v>26.900136000886615</v>
      </c>
      <c r="L19" s="10">
        <f t="shared" si="2"/>
        <v>16.41437605240597</v>
      </c>
      <c r="M19" s="10">
        <f t="shared" si="0"/>
        <v>4.7502769208782043</v>
      </c>
      <c r="N19" s="10">
        <f t="shared" si="3"/>
        <v>-52.44297666529588</v>
      </c>
      <c r="P19" s="11">
        <v>4.4600000000000001E-2</v>
      </c>
    </row>
    <row r="20" spans="1:16" x14ac:dyDescent="0.25">
      <c r="A20">
        <v>11</v>
      </c>
      <c r="B20" s="10"/>
      <c r="C20" s="10"/>
      <c r="D20" s="10"/>
      <c r="E20" s="10">
        <f t="shared" si="1"/>
        <v>-14.220055537312254</v>
      </c>
      <c r="F20" s="10"/>
      <c r="G20" s="10"/>
      <c r="H20" s="10"/>
      <c r="I20" s="10">
        <f t="shared" si="6"/>
        <v>41.231324735493054</v>
      </c>
      <c r="J20" s="10">
        <f t="shared" si="7"/>
        <v>-7.3365308548162496</v>
      </c>
      <c r="K20" s="10">
        <f t="shared" si="5"/>
        <v>29.140713354185582</v>
      </c>
      <c r="L20" s="10">
        <f t="shared" si="2"/>
        <v>14.920657816873328</v>
      </c>
      <c r="M20" s="10">
        <f t="shared" si="0"/>
        <v>3.7622580542206947</v>
      </c>
      <c r="N20" s="10">
        <f t="shared" si="3"/>
        <v>-48.680718611075186</v>
      </c>
    </row>
    <row r="21" spans="1:16" x14ac:dyDescent="0.25">
      <c r="A21">
        <v>12</v>
      </c>
      <c r="B21" s="10"/>
      <c r="C21" s="10"/>
      <c r="D21" s="10"/>
      <c r="E21" s="10">
        <f t="shared" si="1"/>
        <v>-14.220055537312254</v>
      </c>
      <c r="F21" s="10"/>
      <c r="G21" s="10"/>
      <c r="H21" s="10"/>
      <c r="I21" s="10">
        <f t="shared" si="6"/>
        <v>41.231324735493054</v>
      </c>
      <c r="J21" s="10">
        <f t="shared" si="7"/>
        <v>-7.3365308548162496</v>
      </c>
      <c r="K21" s="10">
        <f t="shared" si="5"/>
        <v>29.140713354185582</v>
      </c>
      <c r="L21" s="10">
        <f t="shared" si="2"/>
        <v>14.920657816873328</v>
      </c>
      <c r="M21" s="10">
        <f t="shared" si="0"/>
        <v>3.2780429655755103</v>
      </c>
      <c r="N21" s="10">
        <f t="shared" si="3"/>
        <v>-45.402675645499677</v>
      </c>
    </row>
    <row r="22" spans="1:16" x14ac:dyDescent="0.25">
      <c r="A22">
        <v>13</v>
      </c>
      <c r="B22" s="10"/>
      <c r="C22" s="10"/>
      <c r="D22" s="10"/>
      <c r="E22" s="10">
        <f t="shared" si="1"/>
        <v>-14.220055537312254</v>
      </c>
      <c r="F22" s="10"/>
      <c r="G22" s="10"/>
      <c r="H22" s="10"/>
      <c r="I22" s="10">
        <f t="shared" si="6"/>
        <v>41.231324735493054</v>
      </c>
      <c r="J22" s="10">
        <f t="shared" si="7"/>
        <v>-7.3365308548162496</v>
      </c>
      <c r="K22" s="10">
        <f t="shared" si="5"/>
        <v>29.140713354185582</v>
      </c>
      <c r="L22" s="10">
        <f t="shared" si="2"/>
        <v>14.920657816873328</v>
      </c>
      <c r="M22" s="10">
        <f t="shared" si="0"/>
        <v>2.8561479646788599</v>
      </c>
      <c r="N22" s="10">
        <f t="shared" si="3"/>
        <v>-42.546527680820816</v>
      </c>
    </row>
    <row r="23" spans="1:16" ht="15.75" thickBot="1" x14ac:dyDescent="0.3">
      <c r="A23">
        <v>14</v>
      </c>
      <c r="B23" s="10"/>
      <c r="C23" s="10"/>
      <c r="D23" s="10"/>
      <c r="E23" s="10">
        <f t="shared" si="1"/>
        <v>-14.220055537312254</v>
      </c>
      <c r="F23" s="10"/>
      <c r="G23" s="10"/>
      <c r="H23" s="10"/>
      <c r="I23" s="10">
        <f t="shared" si="6"/>
        <v>41.231324735493054</v>
      </c>
      <c r="J23" s="10">
        <f t="shared" si="7"/>
        <v>-7.3365308548162496</v>
      </c>
      <c r="K23" s="10">
        <f t="shared" si="5"/>
        <v>29.140713354185582</v>
      </c>
      <c r="L23" s="10">
        <f t="shared" si="2"/>
        <v>14.920657816873328</v>
      </c>
      <c r="M23" s="10">
        <f t="shared" si="0"/>
        <v>2.4885522495605876</v>
      </c>
      <c r="N23" s="10">
        <f t="shared" si="3"/>
        <v>-40.057975431260232</v>
      </c>
    </row>
    <row r="24" spans="1:16" ht="15.75" thickBot="1" x14ac:dyDescent="0.3">
      <c r="A24">
        <v>15</v>
      </c>
      <c r="B24" s="10"/>
      <c r="C24" s="10">
        <f>-WC</f>
        <v>20.009026348590851</v>
      </c>
      <c r="D24" s="10"/>
      <c r="E24" s="10">
        <f t="shared" si="1"/>
        <v>-14.220055537312254</v>
      </c>
      <c r="F24" s="10"/>
      <c r="G24" s="10"/>
      <c r="H24" s="10"/>
      <c r="I24" s="10">
        <f t="shared" si="6"/>
        <v>41.231324735493054</v>
      </c>
      <c r="J24" s="10">
        <f t="shared" si="7"/>
        <v>-7.3365308548162496</v>
      </c>
      <c r="K24" s="10">
        <f t="shared" si="5"/>
        <v>29.140713354185582</v>
      </c>
      <c r="L24" s="10">
        <f>C24+K24+G24+E24</f>
        <v>34.929684165464174</v>
      </c>
      <c r="M24" s="10">
        <f t="shared" si="0"/>
        <v>5.075975447969002</v>
      </c>
      <c r="N24" s="12">
        <f>N23+M24</f>
        <v>-34.981999983291232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2</xdr:col>
                    <xdr:colOff>895350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workbookViewId="0">
      <selection sqref="A1:B22"/>
    </sheetView>
  </sheetViews>
  <sheetFormatPr defaultRowHeight="15" x14ac:dyDescent="0.25"/>
  <sheetData>
    <row r="1" spans="1:2" x14ac:dyDescent="0.25">
      <c r="A1">
        <v>-57</v>
      </c>
      <c r="B1">
        <v>3</v>
      </c>
    </row>
    <row r="2" spans="1:2" x14ac:dyDescent="0.25">
      <c r="A2">
        <v>-51</v>
      </c>
      <c r="B2">
        <v>21</v>
      </c>
    </row>
    <row r="3" spans="1:2" x14ac:dyDescent="0.25">
      <c r="A3">
        <v>-45</v>
      </c>
      <c r="B3">
        <v>22</v>
      </c>
    </row>
    <row r="4" spans="1:2" x14ac:dyDescent="0.25">
      <c r="A4">
        <v>-39</v>
      </c>
      <c r="B4">
        <v>43</v>
      </c>
    </row>
    <row r="5" spans="1:2" x14ac:dyDescent="0.25">
      <c r="A5">
        <v>-33</v>
      </c>
      <c r="B5">
        <v>65</v>
      </c>
    </row>
    <row r="6" spans="1:2" x14ac:dyDescent="0.25">
      <c r="A6">
        <v>-27</v>
      </c>
      <c r="B6">
        <v>92</v>
      </c>
    </row>
    <row r="7" spans="1:2" x14ac:dyDescent="0.25">
      <c r="A7">
        <v>-21</v>
      </c>
      <c r="B7">
        <v>91</v>
      </c>
    </row>
    <row r="8" spans="1:2" x14ac:dyDescent="0.25">
      <c r="A8">
        <v>-15</v>
      </c>
      <c r="B8">
        <v>113</v>
      </c>
    </row>
    <row r="9" spans="1:2" x14ac:dyDescent="0.25">
      <c r="A9">
        <v>-9</v>
      </c>
      <c r="B9">
        <v>109</v>
      </c>
    </row>
    <row r="10" spans="1:2" x14ac:dyDescent="0.25">
      <c r="A10">
        <v>-3</v>
      </c>
      <c r="B10">
        <v>83</v>
      </c>
    </row>
    <row r="11" spans="1:2" x14ac:dyDescent="0.25">
      <c r="A11">
        <v>3</v>
      </c>
      <c r="B11">
        <v>96</v>
      </c>
    </row>
    <row r="12" spans="1:2" x14ac:dyDescent="0.25">
      <c r="A12">
        <v>9</v>
      </c>
      <c r="B12">
        <v>73</v>
      </c>
    </row>
    <row r="13" spans="1:2" x14ac:dyDescent="0.25">
      <c r="A13">
        <v>15</v>
      </c>
      <c r="B13">
        <v>60</v>
      </c>
    </row>
    <row r="14" spans="1:2" x14ac:dyDescent="0.25">
      <c r="A14">
        <v>21</v>
      </c>
      <c r="B14">
        <v>41</v>
      </c>
    </row>
    <row r="15" spans="1:2" x14ac:dyDescent="0.25">
      <c r="A15">
        <v>27</v>
      </c>
      <c r="B15">
        <v>29</v>
      </c>
    </row>
    <row r="16" spans="1:2" x14ac:dyDescent="0.25">
      <c r="A16">
        <v>33</v>
      </c>
      <c r="B16">
        <v>19</v>
      </c>
    </row>
    <row r="17" spans="1:2" x14ac:dyDescent="0.25">
      <c r="A17">
        <v>39</v>
      </c>
      <c r="B17">
        <v>13</v>
      </c>
    </row>
    <row r="18" spans="1:2" x14ac:dyDescent="0.25">
      <c r="A18">
        <v>45</v>
      </c>
      <c r="B18">
        <v>9</v>
      </c>
    </row>
    <row r="19" spans="1:2" x14ac:dyDescent="0.25">
      <c r="A19">
        <v>51</v>
      </c>
      <c r="B19">
        <v>3</v>
      </c>
    </row>
    <row r="20" spans="1:2" x14ac:dyDescent="0.25">
      <c r="A20">
        <v>57</v>
      </c>
      <c r="B20">
        <v>6</v>
      </c>
    </row>
    <row r="21" spans="1:2" x14ac:dyDescent="0.25">
      <c r="A21">
        <v>63</v>
      </c>
      <c r="B21">
        <v>3</v>
      </c>
    </row>
    <row r="22" spans="1:2" x14ac:dyDescent="0.25">
      <c r="A22">
        <v>69</v>
      </c>
      <c r="B22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Daniel Silva</cp:lastModifiedBy>
  <dcterms:created xsi:type="dcterms:W3CDTF">2013-10-29T18:00:12Z</dcterms:created>
  <dcterms:modified xsi:type="dcterms:W3CDTF">2020-11-12T16:52:31Z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d4c66a-7c8a-4c88-a41a-dc132491a08a_Enabled">
    <vt:lpwstr>true</vt:lpwstr>
  </property>
  <property fmtid="{D5CDD505-2E9C-101B-9397-08002B2CF9AE}" pid="3" name="MSIP_Label_f9d4c66a-7c8a-4c88-a41a-dc132491a08a_SetDate">
    <vt:lpwstr>2020-11-10T18:45:39Z</vt:lpwstr>
  </property>
  <property fmtid="{D5CDD505-2E9C-101B-9397-08002B2CF9AE}" pid="4" name="MSIP_Label_f9d4c66a-7c8a-4c88-a41a-dc132491a08a_Method">
    <vt:lpwstr>Privileged</vt:lpwstr>
  </property>
  <property fmtid="{D5CDD505-2E9C-101B-9397-08002B2CF9AE}" pid="5" name="MSIP_Label_f9d4c66a-7c8a-4c88-a41a-dc132491a08a_Name">
    <vt:lpwstr>Público - Sem marca de água</vt:lpwstr>
  </property>
  <property fmtid="{D5CDD505-2E9C-101B-9397-08002B2CF9AE}" pid="6" name="MSIP_Label_f9d4c66a-7c8a-4c88-a41a-dc132491a08a_SiteId">
    <vt:lpwstr>f92c299d-3d5a-4621-abd4-755e52e5161d</vt:lpwstr>
  </property>
  <property fmtid="{D5CDD505-2E9C-101B-9397-08002B2CF9AE}" pid="7" name="MSIP_Label_f9d4c66a-7c8a-4c88-a41a-dc132491a08a_ActionId">
    <vt:lpwstr>e32cb70a-fbf1-457a-a3fc-00009dddeb7b</vt:lpwstr>
  </property>
  <property fmtid="{D5CDD505-2E9C-101B-9397-08002B2CF9AE}" pid="8" name="MSIP_Label_f9d4c66a-7c8a-4c88-a41a-dc132491a08a_ContentBits">
    <vt:lpwstr>0</vt:lpwstr>
  </property>
</Properties>
</file>